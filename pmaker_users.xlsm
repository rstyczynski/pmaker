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styczynski/Developer/pmaker/"/>
    </mc:Choice>
  </mc:AlternateContent>
  <xr:revisionPtr revIDLastSave="0" documentId="13_ncr:1_{4EB5B130-9BAE-BD4C-B497-82D9B8335442}" xr6:coauthVersionLast="45" xr6:coauthVersionMax="45" xr10:uidLastSave="{00000000-0000-0000-0000-000000000000}"/>
  <bookViews>
    <workbookView xWindow="580" yWindow="480" windowWidth="27720" windowHeight="17040" xr2:uid="{BD47836E-8E3A-D341-8CCF-4AACCDA61EF6}"/>
  </bookViews>
  <sheets>
    <sheet name="users" sheetId="1" r:id="rId1"/>
    <sheet name="how_to_expor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4" i="1" l="1"/>
  <c r="AK4" i="1"/>
  <c r="AJ5" i="1"/>
  <c r="AK5" i="1"/>
  <c r="AL4" i="1" a="1"/>
  <c r="AL5" i="1" a="1"/>
  <c r="AL5" i="1" l="1"/>
  <c r="AL4" i="1"/>
  <c r="AJ3" i="1" l="1"/>
  <c r="AK3" i="1"/>
  <c r="R2" i="1"/>
  <c r="X2" i="1" s="1"/>
  <c r="AD2" i="1" s="1"/>
  <c r="S2" i="1"/>
  <c r="Y2" i="1" s="1"/>
  <c r="AE2" i="1" s="1"/>
  <c r="T2" i="1"/>
  <c r="Z2" i="1" s="1"/>
  <c r="AF2" i="1" s="1"/>
  <c r="U2" i="1"/>
  <c r="AA2" i="1" s="1"/>
  <c r="AG2" i="1" s="1"/>
  <c r="V2" i="1"/>
  <c r="AB2" i="1" s="1"/>
  <c r="AH2" i="1" s="1"/>
  <c r="AL3" i="1" a="1"/>
  <c r="AM3" i="1" a="1"/>
  <c r="AM4" i="1" a="1"/>
  <c r="AM4" i="1" l="1"/>
  <c r="AM3" i="1"/>
  <c r="AL3" i="1"/>
  <c r="AM5" i="1" a="1"/>
  <c r="AN3" i="1" a="1"/>
  <c r="AN4" i="1" a="1"/>
  <c r="AN5" i="1" a="1"/>
  <c r="AM5" i="1" l="1"/>
  <c r="AN5" i="1"/>
  <c r="AN4" i="1"/>
  <c r="AN3" i="1"/>
  <c r="AO5" i="1" a="1"/>
  <c r="AO4" i="1" a="1"/>
  <c r="AO3" i="1" a="1"/>
  <c r="AO4" i="1" l="1"/>
  <c r="AO5" i="1"/>
  <c r="AO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<sst xmlns="http://schemas.openxmlformats.org/spreadsheetml/2006/main" count="105" uniqueCount="47">
  <si>
    <t>username</t>
  </si>
  <si>
    <t>server_groups</t>
  </si>
  <si>
    <t>password</t>
  </si>
  <si>
    <t>key</t>
  </si>
  <si>
    <t>full_name</t>
  </si>
  <si>
    <t>became_oracle</t>
  </si>
  <si>
    <t>became_root</t>
  </si>
  <si>
    <t>became_appl</t>
  </si>
  <si>
    <t>email</t>
  </si>
  <si>
    <t>mobile</t>
  </si>
  <si>
    <t xml:space="preserve"> </t>
  </si>
  <si>
    <t>password authenticated</t>
  </si>
  <si>
    <t>key authenticated</t>
  </si>
  <si>
    <t>"sit"</t>
  </si>
  <si>
    <t>"dev"</t>
  </si>
  <si>
    <t>"uat"</t>
  </si>
  <si>
    <t>"preprod"</t>
  </si>
  <si>
    <t>"prod"</t>
  </si>
  <si>
    <t>x</t>
  </si>
  <si>
    <t>1. install xlsx2csv</t>
  </si>
  <si>
    <t>2. install csvtojson</t>
  </si>
  <si>
    <t>3. execute to convert excel to yaml</t>
  </si>
  <si>
    <t>4. run with pmaker</t>
  </si>
  <si>
    <t>date</t>
  </si>
  <si>
    <t>team</t>
  </si>
  <si>
    <t>mgmt</t>
  </si>
  <si>
    <t>dev</t>
  </si>
  <si>
    <t>manager</t>
  </si>
  <si>
    <t>top</t>
  </si>
  <si>
    <t>alice</t>
  </si>
  <si>
    <t>bob</t>
  </si>
  <si>
    <t>carol</t>
  </si>
  <si>
    <t>admin</t>
  </si>
  <si>
    <t>Bob the bulder</t>
  </si>
  <si>
    <t>Alice from Wonderland</t>
  </si>
  <si>
    <t>Carol the best one</t>
  </si>
  <si>
    <t>alice@wonder.land</t>
  </si>
  <si>
    <t>bob@build.me</t>
  </si>
  <si>
    <t>carol@thebest.one</t>
  </si>
  <si>
    <t>+12-123-124-675</t>
  </si>
  <si>
    <t>+5-345-235-12</t>
  </si>
  <si>
    <t>+48-123-516-491</t>
  </si>
  <si>
    <t>become appl admin</t>
  </si>
  <si>
    <t>become oracle admin</t>
  </si>
  <si>
    <t>become root</t>
  </si>
  <si>
    <t>environment access</t>
  </si>
  <si>
    <t>pmaker/users2pmaker.sh pmaker_users.xlsm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</si>
</sst>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242729"/>
      <name val="Inherit"/>
    </font>
    <font>
      <sz val="12"/>
      <color theme="2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7">
    <xf numFmtId="0" fontId="0" fillId="0" borderId="0" xfId="0"/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0" fillId="0" borderId="0" xfId="0" applyNumberFormat="1"/>
    <xf numFmtId="0" fontId="1" fillId="2" borderId="0" xfId="0" applyFont="1" applyFill="1" applyAlignment="1">
      <alignment horizontal="center" vertical="center"/>
    </xf>
    <xf numFmtId="49" fontId="6" fillId="0" borderId="0" xfId="1" applyNumberFormat="1"/>
    <xf numFmtId="0" fontId="5" fillId="3" borderId="0" xfId="0" applyFont="1" applyFill="1" applyAlignment="1">
      <alignment horizontal="center" vertical="center"/>
    </xf>
    <xf numFmtId="0" fontId="2" fillId="2" borderId="0" xfId="0" applyFont="1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0" fontId="0" fillId="0" borderId="0" xfId="0" applyFont="1" applyAlignment="1">
      <alignment horizontal="left" vertical="top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fgColor rgb="FF00B050"/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arol@thebest.one" TargetMode="External"/><Relationship Id="rId2" Type="http://schemas.openxmlformats.org/officeDocument/2006/relationships/hyperlink" Target="mailto:bob@build.me" TargetMode="External"/><Relationship Id="rId1" Type="http://schemas.openxmlformats.org/officeDocument/2006/relationships/hyperlink" Target="mailto:alice@wonder.lan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D37-3F00-134E-97C3-163C71A40F57}">
  <sheetPr codeName="Sheet1"/>
  <dimension ref="A1:AO5"/>
  <sheetViews>
    <sheetView tabSelected="1" workbookViewId="0">
      <pane xSplit="1" topLeftCell="B1" activePane="topRight" state="frozen"/>
      <selection pane="topRight" activeCell="A11" sqref="A11"/>
    </sheetView>
  </sheetViews>
  <sheetFormatPr baseColWidth="10" defaultColWidth="16.1640625" defaultRowHeight="16" outlineLevelCol="1"/>
  <cols>
    <col min="2" max="2" width="12.6640625" customWidth="1"/>
    <col min="3" max="3" width="11.83203125" customWidth="1"/>
    <col min="5" max="5" width="27.33203125" bestFit="1" customWidth="1"/>
    <col min="6" max="6" width="32.5" bestFit="1" customWidth="1"/>
    <col min="7" max="7" width="18.33203125" customWidth="1"/>
    <col min="8" max="8" width="2.33203125" style="3" customWidth="1"/>
    <col min="9" max="9" width="13.1640625" customWidth="1"/>
    <col min="10" max="10" width="12.83203125" customWidth="1"/>
    <col min="11" max="11" width="2.83203125" style="3" customWidth="1"/>
    <col min="12" max="16" width="8.1640625" customWidth="1"/>
    <col min="17" max="17" width="2.83203125" style="3" customWidth="1"/>
    <col min="18" max="22" width="8.1640625" customWidth="1"/>
    <col min="23" max="23" width="2.83203125" style="3" customWidth="1"/>
    <col min="24" max="28" width="8.1640625" customWidth="1"/>
    <col min="29" max="29" width="2.83203125" style="3" customWidth="1"/>
    <col min="30" max="34" width="8.1640625" customWidth="1"/>
    <col min="35" max="35" width="2.83203125" style="3" customWidth="1"/>
    <col min="36" max="38" width="14.83203125" style="3" customWidth="1" outlineLevel="1"/>
    <col min="39" max="39" width="18.6640625" style="3" customWidth="1" outlineLevel="1"/>
    <col min="40" max="41" width="14.83203125" style="3" customWidth="1" outlineLevel="1"/>
  </cols>
  <sheetData>
    <row r="1" spans="1:41" s="3" customFormat="1" ht="16" customHeight="1">
      <c r="A1" s="15" t="s">
        <v>0</v>
      </c>
      <c r="B1" s="15" t="s">
        <v>23</v>
      </c>
      <c r="C1" s="15" t="s">
        <v>24</v>
      </c>
      <c r="D1" s="15" t="s">
        <v>27</v>
      </c>
      <c r="E1" s="15" t="s">
        <v>4</v>
      </c>
      <c r="F1" s="15" t="s">
        <v>8</v>
      </c>
      <c r="G1" s="15" t="s">
        <v>9</v>
      </c>
      <c r="H1" s="2"/>
      <c r="I1" s="16" t="s">
        <v>11</v>
      </c>
      <c r="J1" s="16" t="s">
        <v>12</v>
      </c>
      <c r="K1" s="2"/>
      <c r="L1" s="15" t="s">
        <v>45</v>
      </c>
      <c r="M1" s="15"/>
      <c r="N1" s="15"/>
      <c r="O1" s="15"/>
      <c r="P1" s="15"/>
      <c r="Q1" s="2"/>
      <c r="R1" s="15" t="s">
        <v>42</v>
      </c>
      <c r="S1" s="15"/>
      <c r="T1" s="15"/>
      <c r="U1" s="15"/>
      <c r="V1" s="15"/>
      <c r="W1" s="2"/>
      <c r="X1" s="15" t="s">
        <v>43</v>
      </c>
      <c r="Y1" s="15"/>
      <c r="Z1" s="15"/>
      <c r="AA1" s="15"/>
      <c r="AB1" s="15"/>
      <c r="AC1" s="2"/>
      <c r="AD1" s="15" t="s">
        <v>44</v>
      </c>
      <c r="AE1" s="15"/>
      <c r="AF1" s="15"/>
      <c r="AG1" s="15"/>
      <c r="AH1" s="15"/>
      <c r="AI1" s="2"/>
      <c r="AJ1" s="4" t="s">
        <v>2</v>
      </c>
      <c r="AK1" s="4" t="s">
        <v>3</v>
      </c>
      <c r="AL1" s="5" t="s">
        <v>1</v>
      </c>
      <c r="AM1" s="9" t="s">
        <v>7</v>
      </c>
      <c r="AN1" s="4" t="s">
        <v>5</v>
      </c>
      <c r="AO1" s="4" t="s">
        <v>6</v>
      </c>
    </row>
    <row r="2" spans="1:41" s="3" customFormat="1">
      <c r="A2" s="15"/>
      <c r="B2" s="15"/>
      <c r="C2" s="15"/>
      <c r="D2" s="15"/>
      <c r="E2" s="15"/>
      <c r="F2" s="15"/>
      <c r="G2" s="15"/>
      <c r="H2" s="2"/>
      <c r="I2" s="16"/>
      <c r="J2" s="16"/>
      <c r="K2" s="2"/>
      <c r="L2" s="2" t="s">
        <v>14</v>
      </c>
      <c r="M2" s="2" t="s">
        <v>13</v>
      </c>
      <c r="N2" s="2" t="s">
        <v>15</v>
      </c>
      <c r="O2" s="2" t="s">
        <v>16</v>
      </c>
      <c r="P2" s="2" t="s">
        <v>17</v>
      </c>
      <c r="Q2" s="2"/>
      <c r="R2" s="2" t="str">
        <f>L2</f>
        <v>"dev"</v>
      </c>
      <c r="S2" s="2" t="str">
        <f>M2</f>
        <v>"sit"</v>
      </c>
      <c r="T2" s="2" t="str">
        <f>N2</f>
        <v>"uat"</v>
      </c>
      <c r="U2" s="2" t="str">
        <f>O2</f>
        <v>"preprod"</v>
      </c>
      <c r="V2" s="2" t="str">
        <f>P2</f>
        <v>"prod"</v>
      </c>
      <c r="W2" s="2"/>
      <c r="X2" s="2" t="str">
        <f>R2</f>
        <v>"dev"</v>
      </c>
      <c r="Y2" s="2" t="str">
        <f>S2</f>
        <v>"sit"</v>
      </c>
      <c r="Z2" s="2" t="str">
        <f>T2</f>
        <v>"uat"</v>
      </c>
      <c r="AA2" s="2" t="str">
        <f>U2</f>
        <v>"preprod"</v>
      </c>
      <c r="AB2" s="2" t="str">
        <f>V2</f>
        <v>"prod"</v>
      </c>
      <c r="AC2" s="2"/>
      <c r="AD2" s="2" t="str">
        <f>X2</f>
        <v>"dev"</v>
      </c>
      <c r="AE2" s="2" t="str">
        <f>Y2</f>
        <v>"sit"</v>
      </c>
      <c r="AF2" s="2" t="str">
        <f>Z2</f>
        <v>"uat"</v>
      </c>
      <c r="AG2" s="2" t="str">
        <f>AA2</f>
        <v>"preprod"</v>
      </c>
      <c r="AH2" s="2" t="str">
        <f>AB2</f>
        <v>"prod"</v>
      </c>
      <c r="AI2" s="2"/>
      <c r="AJ2" s="4"/>
      <c r="AK2" s="4"/>
      <c r="AM2" s="4"/>
      <c r="AN2" s="4"/>
      <c r="AO2" s="4"/>
    </row>
    <row r="3" spans="1:41" ht="17">
      <c r="A3" s="6" t="s">
        <v>29</v>
      </c>
      <c r="B3" s="11">
        <v>43983</v>
      </c>
      <c r="C3" s="6" t="s">
        <v>25</v>
      </c>
      <c r="D3" s="12" t="s">
        <v>28</v>
      </c>
      <c r="E3" s="6" t="s">
        <v>34</v>
      </c>
      <c r="F3" s="8" t="s">
        <v>36</v>
      </c>
      <c r="G3" s="6" t="s">
        <v>39</v>
      </c>
      <c r="I3" s="1" t="s">
        <v>10</v>
      </c>
      <c r="J3" s="1" t="b">
        <v>1</v>
      </c>
      <c r="K3" s="4"/>
      <c r="L3" s="1" t="s">
        <v>18</v>
      </c>
      <c r="M3" s="1" t="s">
        <v>18</v>
      </c>
      <c r="N3" s="1" t="s">
        <v>10</v>
      </c>
      <c r="O3" s="1" t="s">
        <v>10</v>
      </c>
      <c r="P3" s="1" t="s">
        <v>10</v>
      </c>
      <c r="Q3" s="4"/>
      <c r="R3" s="1" t="s">
        <v>18</v>
      </c>
      <c r="S3" s="1" t="s">
        <v>18</v>
      </c>
      <c r="T3" s="1" t="s">
        <v>18</v>
      </c>
      <c r="U3" s="1" t="s">
        <v>18</v>
      </c>
      <c r="V3" s="1" t="s">
        <v>18</v>
      </c>
      <c r="W3" s="4"/>
      <c r="X3" s="1" t="s">
        <v>18</v>
      </c>
      <c r="Y3" s="1" t="s">
        <v>18</v>
      </c>
      <c r="Z3" s="1" t="s">
        <v>18</v>
      </c>
      <c r="AA3" s="1" t="s">
        <v>18</v>
      </c>
      <c r="AB3" s="1" t="s">
        <v>18</v>
      </c>
      <c r="AC3" s="4"/>
      <c r="AD3" s="1"/>
      <c r="AE3" s="1"/>
      <c r="AF3" s="1"/>
      <c r="AG3" s="1"/>
      <c r="AH3" s="1"/>
      <c r="AJ3" s="4" t="b">
        <f t="shared" ref="AJ3:AK5" si="0">((LEN(TRIM(I3)))&gt;0)</f>
        <v>0</v>
      </c>
      <c r="AK3" s="4" t="b">
        <f t="shared" si="0"/>
        <v>1</v>
      </c>
      <c r="AL3" s="10" t="str" cm="1">
        <f t="array" ref="AL3">SUBSTITUTE("[" &amp; TRIM(JoinXL(IF((LEN(TRIM(L3:P3))), $L$2:$P$2 &amp; " ", ""), "")) &amp; "]", " ", ",")</f>
        <v>["dev","sit"]</v>
      </c>
      <c r="AM3" s="10" t="str" cm="1">
        <f t="array" ref="AM3">SUBSTITUTE("[" &amp; TRIM(JoinXL(IF((LEN(TRIM(R3:V3))), $R$2:$V$2 &amp; " ", ""), "")) &amp; "]", " ", ",")</f>
        <v>["dev","sit","uat","preprod","prod"]</v>
      </c>
      <c r="AN3" s="10" t="str" cm="1">
        <f t="array" ref="AN3">SUBSTITUTE("[" &amp; TRIM(JoinXL(IF((LEN(TRIM(X3:AB3))), $X$2:$AB$2 &amp; " ", ""), "")) &amp; "]", " ", ",")</f>
        <v>["dev","sit","uat","preprod","prod"]</v>
      </c>
      <c r="AO3" s="10" t="str" cm="1">
        <f t="array" ref="AO3">SUBSTITUTE("[" &amp; TRIM(JoinXL(IF((LEN(TRIM(AD3:AH3))), $AD$2:$AH$2 &amp; " ", ""), "")) &amp; "]", " ", ",")</f>
        <v>[]</v>
      </c>
    </row>
    <row r="4" spans="1:41" ht="17">
      <c r="A4" s="6" t="s">
        <v>30</v>
      </c>
      <c r="B4" s="11">
        <v>43983</v>
      </c>
      <c r="C4" s="6" t="s">
        <v>26</v>
      </c>
      <c r="D4" s="12" t="s">
        <v>29</v>
      </c>
      <c r="E4" s="6" t="s">
        <v>33</v>
      </c>
      <c r="F4" s="8" t="s">
        <v>37</v>
      </c>
      <c r="G4" s="6" t="s">
        <v>40</v>
      </c>
      <c r="H4" s="2"/>
      <c r="I4" s="1" t="s">
        <v>10</v>
      </c>
      <c r="J4" s="1" t="b">
        <v>1</v>
      </c>
      <c r="K4" s="4"/>
      <c r="L4" s="1" t="s">
        <v>18</v>
      </c>
      <c r="M4" s="1" t="s">
        <v>18</v>
      </c>
      <c r="N4" s="1" t="s">
        <v>18</v>
      </c>
      <c r="O4" s="1" t="s">
        <v>18</v>
      </c>
      <c r="P4" s="1" t="s">
        <v>10</v>
      </c>
      <c r="Q4" s="4"/>
      <c r="R4" s="1" t="s">
        <v>18</v>
      </c>
      <c r="S4" s="1" t="s">
        <v>18</v>
      </c>
      <c r="T4" s="1" t="s">
        <v>18</v>
      </c>
      <c r="U4" s="1" t="s">
        <v>18</v>
      </c>
      <c r="V4" s="1" t="s">
        <v>18</v>
      </c>
      <c r="W4" s="4"/>
      <c r="X4" s="1" t="s">
        <v>18</v>
      </c>
      <c r="Y4" s="1" t="s">
        <v>18</v>
      </c>
      <c r="Z4" s="1" t="s">
        <v>18</v>
      </c>
      <c r="AA4" s="1" t="s">
        <v>18</v>
      </c>
      <c r="AB4" s="1" t="s">
        <v>18</v>
      </c>
      <c r="AC4" s="4"/>
      <c r="AD4" s="1" t="s">
        <v>18</v>
      </c>
      <c r="AE4" s="1" t="s">
        <v>18</v>
      </c>
      <c r="AF4" s="1" t="s">
        <v>18</v>
      </c>
      <c r="AG4" s="1" t="s">
        <v>18</v>
      </c>
      <c r="AH4" s="1" t="s">
        <v>18</v>
      </c>
      <c r="AI4" s="2"/>
      <c r="AJ4" s="7" t="b">
        <f t="shared" si="0"/>
        <v>0</v>
      </c>
      <c r="AK4" s="7" t="b">
        <f t="shared" si="0"/>
        <v>1</v>
      </c>
      <c r="AL4" s="10" t="str" cm="1">
        <f t="array" ref="AL4">SUBSTITUTE("[" &amp; TRIM(JoinXL(IF((LEN(TRIM(L4:P4))), $L$2:$P$2 &amp; " ", ""), "")) &amp; "]", " ", ",")</f>
        <v>["dev","sit","uat","preprod"]</v>
      </c>
      <c r="AM4" s="10" t="str" cm="1">
        <f t="array" ref="AM4">SUBSTITUTE("[" &amp; TRIM(JoinXL(IF((LEN(TRIM(R4:V4))), $R$2:$V$2 &amp; " ", ""), "")) &amp; "]", " ", ",")</f>
        <v>["dev","sit","uat","preprod","prod"]</v>
      </c>
      <c r="AN4" s="10" t="str" cm="1">
        <f t="array" ref="AN4">SUBSTITUTE("[" &amp; TRIM(JoinXL(IF((LEN(TRIM(X4:AB4))), $X$2:$AB$2 &amp; " ", ""), "")) &amp; "]", " ", ",")</f>
        <v>["dev","sit","uat","preprod","prod"]</v>
      </c>
      <c r="AO4" s="10" t="str" cm="1">
        <f t="array" ref="AO4">SUBSTITUTE("[" &amp; TRIM(JoinXL(IF((LEN(TRIM(AD4:AH4))), $AD$2:$AH$2 &amp; " ", ""), "")) &amp; "]", " ", ",")</f>
        <v>["dev","sit","uat","preprod","prod"]</v>
      </c>
    </row>
    <row r="5" spans="1:41" ht="17">
      <c r="A5" s="6" t="s">
        <v>31</v>
      </c>
      <c r="B5" s="11">
        <v>43983</v>
      </c>
      <c r="C5" s="6" t="s">
        <v>32</v>
      </c>
      <c r="D5" s="6" t="s">
        <v>29</v>
      </c>
      <c r="E5" s="6" t="s">
        <v>35</v>
      </c>
      <c r="F5" s="8" t="s">
        <v>38</v>
      </c>
      <c r="G5" s="6" t="s">
        <v>41</v>
      </c>
      <c r="I5" s="1" t="s">
        <v>18</v>
      </c>
      <c r="J5" s="1" t="b">
        <v>1</v>
      </c>
      <c r="K5" s="4"/>
      <c r="L5" s="1" t="s">
        <v>18</v>
      </c>
      <c r="M5" s="1" t="s">
        <v>18</v>
      </c>
      <c r="N5" s="1" t="s">
        <v>18</v>
      </c>
      <c r="O5" s="1" t="s">
        <v>18</v>
      </c>
      <c r="P5" s="1" t="s">
        <v>18</v>
      </c>
      <c r="Q5" s="4"/>
      <c r="R5" s="1" t="s">
        <v>18</v>
      </c>
      <c r="S5" s="1" t="s">
        <v>18</v>
      </c>
      <c r="T5" s="1" t="s">
        <v>18</v>
      </c>
      <c r="U5" s="1" t="s">
        <v>18</v>
      </c>
      <c r="V5" s="1" t="s">
        <v>18</v>
      </c>
      <c r="W5" s="4"/>
      <c r="X5" s="1" t="s">
        <v>18</v>
      </c>
      <c r="Y5" s="1" t="s">
        <v>18</v>
      </c>
      <c r="Z5" s="1" t="s">
        <v>18</v>
      </c>
      <c r="AA5" s="1" t="s">
        <v>18</v>
      </c>
      <c r="AB5" s="1" t="s">
        <v>18</v>
      </c>
      <c r="AC5" s="4"/>
      <c r="AD5" s="1" t="s">
        <v>18</v>
      </c>
      <c r="AE5" s="1" t="s">
        <v>18</v>
      </c>
      <c r="AF5" s="1" t="s">
        <v>18</v>
      </c>
      <c r="AG5" s="1" t="s">
        <v>18</v>
      </c>
      <c r="AH5" s="1" t="s">
        <v>18</v>
      </c>
      <c r="AJ5" s="7" t="b">
        <f t="shared" si="0"/>
        <v>1</v>
      </c>
      <c r="AK5" s="7" t="b">
        <f t="shared" si="0"/>
        <v>1</v>
      </c>
      <c r="AL5" s="10" t="str" cm="1">
        <f t="array" ref="AL5">SUBSTITUTE("[" &amp; TRIM(JoinXL(IF((LEN(TRIM(L5:P5))), $L$2:$P$2 &amp; " ", ""), "")) &amp; "]", " ", ",")</f>
        <v>["dev","sit","uat","preprod","prod"]</v>
      </c>
      <c r="AM5" s="10" t="str" cm="1">
        <f t="array" ref="AM5">SUBSTITUTE("[" &amp; TRIM(JoinXL(IF((LEN(TRIM(R5:V5))), $R$2:$V$2 &amp; " ", ""), "")) &amp; "]", " ", ",")</f>
        <v>["dev","sit","uat","preprod","prod"]</v>
      </c>
      <c r="AN5" s="10" t="str" cm="1">
        <f t="array" ref="AN5">SUBSTITUTE("[" &amp; TRIM(JoinXL(IF((LEN(TRIM(X5:AB5))), $X$2:$AB$2 &amp; " ", ""), "")) &amp; "]", " ", ",")</f>
        <v>["dev","sit","uat","preprod","prod"]</v>
      </c>
      <c r="AO5" s="10" t="str" cm="1">
        <f t="array" ref="AO5">SUBSTITUTE("[" &amp; TRIM(JoinXL(IF((LEN(TRIM(AD5:AH5))), $AD$2:$AH$2 &amp; " ", ""), "")) &amp; "]", " ", ",")</f>
        <v>["dev","sit","uat","preprod","prod"]</v>
      </c>
    </row>
  </sheetData>
  <mergeCells count="13">
    <mergeCell ref="R1:V1"/>
    <mergeCell ref="X1:AB1"/>
    <mergeCell ref="AD1:AH1"/>
    <mergeCell ref="L1:P1"/>
    <mergeCell ref="A1:A2"/>
    <mergeCell ref="E1:E2"/>
    <mergeCell ref="F1:F2"/>
    <mergeCell ref="G1:G2"/>
    <mergeCell ref="I1:I2"/>
    <mergeCell ref="J1:J2"/>
    <mergeCell ref="B1:B2"/>
    <mergeCell ref="C1:C2"/>
    <mergeCell ref="D1:D2"/>
  </mergeCells>
  <phoneticPr fontId="4" type="noConversion"/>
  <conditionalFormatting sqref="I3:J5 L3:P5 R3:V5 X3:AB5 AD3:AH5">
    <cfRule type="notContainsBlanks" dxfId="2" priority="93">
      <formula>LEN(TRIM(I3))&gt;0</formula>
    </cfRule>
    <cfRule type="containsBlanks" dxfId="1" priority="94">
      <formula>LEN(TRIM(I3))=0</formula>
    </cfRule>
  </conditionalFormatting>
  <conditionalFormatting sqref="A3:G5">
    <cfRule type="containsBlanks" dxfId="0" priority="89">
      <formula>LEN(TRIM(A3))=0</formula>
    </cfRule>
  </conditionalFormatting>
  <hyperlinks>
    <hyperlink ref="F3" r:id="rId1" xr:uid="{8B799A8A-7F9F-3A43-97D0-30EBB6783E29}"/>
    <hyperlink ref="F4" r:id="rId2" xr:uid="{37F4CF54-BEA3-4248-B174-AD82671B8A0E}"/>
    <hyperlink ref="F5" r:id="rId3" xr:uid="{18593DE4-83E9-2642-A759-F4FE0160E96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17FCC-A44C-6348-8F3C-CD7115A0FC91}">
  <dimension ref="A1:A5"/>
  <sheetViews>
    <sheetView workbookViewId="0">
      <selection sqref="A1:XFD1048576"/>
    </sheetView>
  </sheetViews>
  <sheetFormatPr baseColWidth="10" defaultRowHeight="16"/>
  <cols>
    <col min="1" max="1" width="100.6640625" style="13" customWidth="1"/>
    <col min="2" max="16384" width="10.83203125" style="13"/>
  </cols>
  <sheetData>
    <row r="1" spans="1:1">
      <c r="A1" s="13" t="s">
        <v>19</v>
      </c>
    </row>
    <row r="2" spans="1:1">
      <c r="A2" s="13" t="s">
        <v>20</v>
      </c>
    </row>
    <row r="3" spans="1:1">
      <c r="A3" s="13" t="s">
        <v>21</v>
      </c>
    </row>
    <row r="4" spans="1:1" ht="17">
      <c r="A4" s="14" t="s">
        <v>46</v>
      </c>
    </row>
    <row r="5" spans="1:1">
      <c r="A5" s="13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users</vt:lpstr>
      <vt:lpstr>how_to_export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ryszard styczynski</dc:creator>
  <cp:lastModifiedBy>ryszard styczynski</cp:lastModifiedBy>
  <dcterms:created xsi:type="dcterms:W3CDTF">2020-07-14T08:24:07Z</dcterms:created>
  <dcterms:modified xsi:type="dcterms:W3CDTF">2020-07-19T06:11:23Z</dcterms:modified>
</cp:coreProperties>
</file>